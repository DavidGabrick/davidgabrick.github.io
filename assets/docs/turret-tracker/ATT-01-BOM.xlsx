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<sst xmlns="http://schemas.openxmlformats.org/spreadsheetml/2006/main" count="153" uniqueCount="106">
  <si>
    <t xml:space="preserve">AUTONOMOUS TURRET TRACKER</t>
  </si>
  <si>
    <t xml:space="preserve">Bill of Materials  •  Pan-Tilt Motion Tracking System</t>
  </si>
  <si>
    <t xml:space="preserve">UT Arlington  •  Mechanical Engineering Portfolio Project  •  Summer 2026 Build</t>
  </si>
  <si>
    <t xml:space="preserve">#</t>
  </si>
  <si>
    <t xml:space="preserve">Component</t>
  </si>
  <si>
    <t xml:space="preserve">Description / Specification</t>
  </si>
  <si>
    <t xml:space="preserve">Qty</t>
  </si>
  <si>
    <t xml:space="preserve">Unit Price</t>
  </si>
  <si>
    <t xml:space="preserve">Line Total</t>
  </si>
  <si>
    <t xml:space="preserve">Supplier</t>
  </si>
  <si>
    <t xml:space="preserve">Notes</t>
  </si>
  <si>
    <t xml:space="preserve">Purchased</t>
  </si>
  <si>
    <t xml:space="preserve">  MICROCONTROLLER &amp; ELECTRONICS</t>
  </si>
  <si>
    <t xml:space="preserve">ESP32 Dev Board</t>
  </si>
  <si>
    <t xml:space="preserve">ESP32-WROOM-32, 38-pin, 240 MHz dual-core, Wi-Fi + BT</t>
  </si>
  <si>
    <t xml:space="preserve">Amazon / AliExpress</t>
  </si>
  <si>
    <t xml:space="preserve">Any WROOM-32 variant;</t>
  </si>
  <si>
    <t xml:space="preserve">✓</t>
  </si>
  <si>
    <t xml:space="preserve">MG996R Servo — Pan Axis</t>
  </si>
  <si>
    <t xml:space="preserve">Metal gear, 10 kg·cm torque, 180° rotation, 4.8–7.2 V</t>
  </si>
  <si>
    <t xml:space="preserve">Purchased: 4-pack</t>
  </si>
  <si>
    <t xml:space="preserve">SG90 Servo — Tilt Axis</t>
  </si>
  <si>
    <t xml:space="preserve">Plastic gear, 1.8 kg·cm, 180°, lightweight 9g</t>
  </si>
  <si>
    <t xml:space="preserve">Purchased: 4-pack (spares on hand)</t>
  </si>
  <si>
    <t xml:space="preserve">USB Webcam</t>
  </si>
  <si>
    <t xml:space="preserve">720p min, 30 fps, USB-A; Logitech C270 recommended</t>
  </si>
  <si>
    <t xml:space="preserve">FREE</t>
  </si>
  <si>
    <t xml:space="preserve">N/A</t>
  </si>
  <si>
    <t xml:space="preserve">C270 ~$20; reliable driver support</t>
  </si>
  <si>
    <t xml:space="preserve">5V 3A Power Supply</t>
  </si>
  <si>
    <t xml:space="preserve">Regulated 5V, 3A; 5.5mm barrel jack + terminal block adapter</t>
  </si>
  <si>
    <t xml:space="preserve">Amazon</t>
  </si>
  <si>
    <t xml:space="preserve">3A required — MG996R stall can exceed 2A; adapter ~$3 extra</t>
  </si>
  <si>
    <t xml:space="preserve">Half-size Breadboard</t>
  </si>
  <si>
    <t xml:space="preserve">400-tie solderless, for prototyping servo wiring</t>
  </si>
  <si>
    <t xml:space="preserve">Amazon / Microcenter</t>
  </si>
  <si>
    <t xml:space="preserve">Purchased: in ELEGOO EL-CK-002 kit (830-tie)</t>
  </si>
  <si>
    <t xml:space="preserve">Jumper Wire Kit</t>
  </si>
  <si>
    <t xml:space="preserve">M-M / M-F / F-F assortment, 10–20 cm lengths</t>
  </si>
  <si>
    <t xml:space="preserve">Purchased: in ELEGOO EL-CK-002 kit</t>
  </si>
  <si>
    <t xml:space="preserve">Capacitor 100µF 10V (×2)</t>
  </si>
  <si>
    <t xml:space="preserve">Electrolytic, decoupling on servo VCC lines</t>
  </si>
  <si>
    <t xml:space="preserve">DigiKey / Amazon</t>
  </si>
  <si>
    <t xml:space="preserve">Purchased: in ELEGOO kit — verify ≥100µF; parallel 2 if needed</t>
  </si>
  <si>
    <t xml:space="preserve">Schottky Diode 1N5819 (×2)</t>
  </si>
  <si>
    <t xml:space="preserve">Flyback protection on servo power lines</t>
  </si>
  <si>
    <t xml:space="preserve">DigiKey / Microcenter</t>
  </si>
  <si>
    <t xml:space="preserve">Purchased: 1N4007 in ELEGOO kit — OK for flyback here</t>
  </si>
  <si>
    <t xml:space="preserve">  MECHANICAL &amp; STRUCTURAL</t>
  </si>
  <si>
    <t xml:space="preserve">PLA Filament — 500g spool</t>
  </si>
  <si>
    <t xml:space="preserve">1.75mm PLA; any color; for 3D-printed pan-tilt bracket</t>
  </si>
  <si>
    <t xml:space="preserve">UTA makerspace prints free/low-cost</t>
  </si>
  <si>
    <t xml:space="preserve">Pan-Tilt Bracket (printed)</t>
  </si>
  <si>
    <t xml:space="preserve">Custom CAD — design in Fusion 360 or SolidWorks</t>
  </si>
  <si>
    <t xml:space="preserve">—</t>
  </si>
  <si>
    <t xml:space="preserve">3D print</t>
  </si>
  <si>
    <t xml:space="preserve">Self-designed; document CAD for portfolio</t>
  </si>
  <si>
    <t xml:space="preserve">✗</t>
  </si>
  <si>
    <t xml:space="preserve">M3 Bolt &amp; Nut Kit</t>
  </si>
  <si>
    <t xml:space="preserve">M3×8 mm + M3×12 mm + M3 hex nuts, stainless steel</t>
  </si>
  <si>
    <t xml:space="preserve">For servo-to-bracket attachment</t>
  </si>
  <si>
    <t xml:space="preserve">M2 Self-tap Screw Kit</t>
  </si>
  <si>
    <t xml:space="preserve">M2×6mm, for servo horn and camera mount attachment</t>
  </si>
  <si>
    <t xml:space="preserve">Rubber Feet — 4-pack</t>
  </si>
  <si>
    <t xml:space="preserve">Adhesive anti-slip base pads</t>
  </si>
  <si>
    <t xml:space="preserve">Keeps base stable during operation</t>
  </si>
  <si>
    <t xml:space="preserve">¼"-20 Camera Mount Screw</t>
  </si>
  <si>
    <t xml:space="preserve">Standard tripod-thread screw for webcam base</t>
  </si>
  <si>
    <t xml:space="preserve">Amazon / Home Depot</t>
  </si>
  <si>
    <t xml:space="preserve">Vello 2-pack ~$5; alt: hot glue for quick prototyping</t>
  </si>
  <si>
    <t xml:space="preserve">  TOOLS &amp; CONSUMABLES</t>
  </si>
  <si>
    <t xml:space="preserve">Soldering Iron Kit</t>
  </si>
  <si>
    <t xml:space="preserve">30–60W adjustable; for permanent wiring</t>
  </si>
  <si>
    <t xml:space="preserve">Solder — 60/40 Tin-Lead</t>
  </si>
  <si>
    <t xml:space="preserve">0.6mm diameter, 100g spool</t>
  </si>
  <si>
    <t xml:space="preserve">Skip if staying breadboard-only</t>
  </si>
  <si>
    <t xml:space="preserve">Wire Strippers</t>
  </si>
  <si>
    <t xml:space="preserve">20–30 AWG capacity</t>
  </si>
  <si>
    <t xml:space="preserve">Already owned</t>
  </si>
  <si>
    <t xml:space="preserve">USB-A to Micro-USB Cable</t>
  </si>
  <si>
    <t xml:space="preserve">For ESP32 programming and serial monitor</t>
  </si>
  <si>
    <t xml:space="preserve">Verify connector type on your ESP32 board</t>
  </si>
  <si>
    <t xml:space="preserve">Hot Glue Gun + Sticks</t>
  </si>
  <si>
    <t xml:space="preserve">Quick mechanical fixturing and cable management</t>
  </si>
  <si>
    <t xml:space="preserve">Amazon / Walmart</t>
  </si>
  <si>
    <t xml:space="preserve">  SOFTWARE — ALL FREE / OPEN SOURCE</t>
  </si>
  <si>
    <t xml:space="preserve">Python 3.11+</t>
  </si>
  <si>
    <t xml:space="preserve">Runtime for computer vision pipeline</t>
  </si>
  <si>
    <t xml:space="preserve">python.org</t>
  </si>
  <si>
    <t xml:space="preserve">OpenCV (cv2)</t>
  </si>
  <si>
    <t xml:space="preserve">pip install opencv-python numpy</t>
  </si>
  <si>
    <t xml:space="preserve">PyPI</t>
  </si>
  <si>
    <t xml:space="preserve">Core CV library for detection &amp; tracking</t>
  </si>
  <si>
    <t xml:space="preserve">Arduino IDE 2.x</t>
  </si>
  <si>
    <t xml:space="preserve">ESP32 firmware development environment</t>
  </si>
  <si>
    <t xml:space="preserve">arduino.cc</t>
  </si>
  <si>
    <t xml:space="preserve">Add ESP32 board package in board manager</t>
  </si>
  <si>
    <t xml:space="preserve">ESP32Servo Library</t>
  </si>
  <si>
    <t xml:space="preserve">PWM servo driver for Arduino/ESP32</t>
  </si>
  <si>
    <t xml:space="preserve">Arduino Library Manager</t>
  </si>
  <si>
    <t xml:space="preserve">Install via IDE Library Manager</t>
  </si>
  <si>
    <t xml:space="preserve">SolidWorks</t>
  </si>
  <si>
    <t xml:space="preserve">CAD for pan-tilt bracket</t>
  </si>
  <si>
    <t xml:space="preserve">UTA license</t>
  </si>
  <si>
    <t xml:space="preserve">Document CAD files on GitHub for portfolio</t>
  </si>
  <si>
    <t xml:space="preserve">ESTIMATED TOTAL (paid components only)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</si>
</sst>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  <charset val="1"/>
    </font>
    <font>
      <i val="true"/>
      <sz val="11"/>
      <color rgb="FF9AB0C8"/>
      <name val="Arial"/>
      <family val="2"/>
      <charset val="1"/>
    </font>
    <font>
      <i val="true"/>
      <sz val="9"/>
      <color rgb="FF6B8FAD"/>
      <name val="Arial"/>
      <family val="2"/>
      <charset val="1"/>
    </font>
    <font>
      <sz val="10"/>
      <color rgb="FF1A1A2A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6B7A8D"/>
      <name val="Arial"/>
      <family val="2"/>
      <charset val="1"/>
    </font>
    <font>
      <b val="true"/>
      <sz val="10"/>
      <color rgb="FF1A1A2A"/>
      <name val="Arial"/>
      <family val="2"/>
      <charset val="1"/>
    </font>
    <font>
      <sz val="9"/>
      <color rgb="FF3D4A5C"/>
      <name val="Arial"/>
      <family val="2"/>
      <charset val="1"/>
    </font>
    <font>
      <sz val="10"/>
      <color rgb="FF0A3D91"/>
      <name val="Arial"/>
      <family val="2"/>
      <charset val="1"/>
    </font>
    <font>
      <sz val="9"/>
      <color rgb="FF1565C0"/>
      <name val="Arial"/>
      <family val="2"/>
      <charset val="1"/>
    </font>
    <font>
      <i val="true"/>
      <sz val="9"/>
      <color rgb="FF6B7A8D"/>
      <name val="Arial"/>
      <family val="2"/>
      <charset val="1"/>
    </font>
    <font>
      <i val="true"/>
      <sz val="10"/>
      <color rgb="FF6B7A8D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i val="true"/>
      <sz val="9"/>
      <color rgb="FFFADADD"/>
      <name val="Arial"/>
      <family val="2"/>
      <charset val="1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A1A2A"/>
      </patternFill>
    </fill>
    <fill>
      <patternFill patternType="solid">
        <fgColor rgb="FF1B2A3B"/>
        <bgColor rgb="FF1A1A2A"/>
      </patternFill>
    </fill>
    <fill>
      <patternFill patternType="solid">
        <fgColor rgb="FFC0392B"/>
        <bgColor rgb="FF993366"/>
      </patternFill>
    </fill>
    <fill>
      <patternFill patternType="solid">
        <fgColor rgb="FF1A3A5C"/>
        <bgColor rgb="FF1B2A3B"/>
      </patternFill>
    </fill>
    <fill>
      <patternFill patternType="solid">
        <fgColor rgb="FF1F4E79"/>
        <bgColor rgb="FF1A3A5C"/>
      </patternFill>
    </fill>
    <fill>
      <patternFill patternType="solid">
        <fgColor rgb="FFEBF0F7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E5631"/>
        <bgColor rgb="FF3D4A5C"/>
      </patternFill>
    </fill>
    <fill>
      <patternFill patternType="solid">
        <fgColor rgb="FF4A235A"/>
        <bgColor rgb="FF1B2A3B"/>
      </patternFill>
    </fill>
    <fill>
      <patternFill patternType="solid">
        <fgColor rgb="FF7E5109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FD9"/>
      </left>
      <right style="thin">
        <color rgb="FFC5CFD9"/>
      </right>
      <top style="thin">
        <color rgb="FFC5CFD9"/>
      </top>
      <bottom style="thin">
        <color rgb="FFC5CFD9"/>
      </bottom>
      <diagonal/>
    </border>
    <border diagonalUp="false" diagonalDown="false">
      <left style="thin">
        <color rgb="FFC5CFD9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631"/>
      <rgbColor rgb="FF000080"/>
      <rgbColor rgb="FF7E5109"/>
      <rgbColor rgb="FF800080"/>
      <rgbColor rgb="FF1F4E79"/>
      <rgbColor rgb="FF9AB0C8"/>
      <rgbColor rgb="FF6B7A8D"/>
      <rgbColor rgb="FF9999FF"/>
      <rgbColor rgb="FF993366"/>
      <rgbColor rgb="FFF7F9FC"/>
      <rgbColor rgb="FFEBF0F7"/>
      <rgbColor rgb="FF4A235A"/>
      <rgbColor rgb="FFFF8080"/>
      <rgbColor rgb="FF1565C0"/>
      <rgbColor rgb="FFC5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3D4A5C"/>
      <rgbColor rgb="FF6B8FAD"/>
      <rgbColor rgb="FF1A3A5C"/>
      <rgbColor rgb="FF339966"/>
      <rgbColor rgb="FF0D1B2A"/>
      <rgbColor rgb="FF1A1A2A"/>
      <rgbColor rgb="FFC0392B"/>
      <rgbColor rgb="FF993366"/>
      <rgbColor rgb="FF0A3D91"/>
      <rgbColor rgb="FF1B2A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6" topLeftCell="A25" activePane="bottomLeft" state="frozen"/>
      <selection pane="topLeft" activeCell="A1" activeCellId="0" sqref="A1"/>
      <selection pane="bottomLeft" activeCell="F28" activeCellId="0" sqref="F28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7"/>
    <col collapsed="false" customWidth="true" hidden="false" outlineLevel="0" max="6" min="5" style="1" width="13"/>
    <col collapsed="false" customWidth="true" hidden="false" outlineLevel="0" max="7" min="7" style="1" width="18"/>
    <col collapsed="false" customWidth="true" hidden="false" outlineLevel="0" max="8" min="8" style="1" width="32.5"/>
    <col collapsed="false" customWidth="true" hidden="false" outlineLevel="0" max="9" min="9" style="1" width="17.16"/>
  </cols>
  <sheetData>
    <row r="1" customFormat="false" ht="6" hidden="false" customHeight="true" outlineLevel="0" collapsed="false"/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21.75" hidden="false" customHeight="true" outlineLevel="0" collapsed="false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</row>
    <row r="7" customFormat="false" ht="18" hidden="false" customHeight="true" outlineLevel="0" collapsed="false">
      <c r="A7" s="7" t="s">
        <v>12</v>
      </c>
      <c r="B7" s="7"/>
      <c r="C7" s="7"/>
      <c r="D7" s="7"/>
      <c r="E7" s="7"/>
      <c r="F7" s="7"/>
      <c r="G7" s="7"/>
      <c r="H7" s="7"/>
      <c r="I7" s="8"/>
    </row>
    <row r="8" customFormat="false" ht="16.5" hidden="false" customHeight="true" outlineLevel="0" collapsed="false">
      <c r="A8" s="9" t="n">
        <v>1</v>
      </c>
      <c r="B8" s="10" t="s">
        <v>13</v>
      </c>
      <c r="C8" s="11" t="s">
        <v>14</v>
      </c>
      <c r="D8" s="12" t="n">
        <v>1</v>
      </c>
      <c r="E8" s="13" t="n">
        <v>0</v>
      </c>
      <c r="F8" s="14" t="n">
        <f aca="false">D8*E8</f>
        <v>0</v>
      </c>
      <c r="G8" s="15" t="s">
        <v>15</v>
      </c>
      <c r="H8" s="16" t="s">
        <v>16</v>
      </c>
      <c r="I8" s="17" t="s">
        <v>17</v>
      </c>
    </row>
    <row r="9" customFormat="false" ht="16.5" hidden="false" customHeight="true" outlineLevel="0" collapsed="false">
      <c r="A9" s="18" t="n">
        <v>2</v>
      </c>
      <c r="B9" s="19" t="s">
        <v>18</v>
      </c>
      <c r="C9" s="20" t="s">
        <v>19</v>
      </c>
      <c r="D9" s="21" t="n">
        <v>1</v>
      </c>
      <c r="E9" s="22" t="n">
        <v>8.99</v>
      </c>
      <c r="F9" s="23" t="n">
        <f aca="false">D9*E9</f>
        <v>8.99</v>
      </c>
      <c r="G9" s="24" t="s">
        <v>15</v>
      </c>
      <c r="H9" s="25" t="s">
        <v>20</v>
      </c>
      <c r="I9" s="17" t="s">
        <v>17</v>
      </c>
    </row>
    <row r="10" customFormat="false" ht="16.5" hidden="false" customHeight="true" outlineLevel="0" collapsed="false">
      <c r="A10" s="9" t="n">
        <v>3</v>
      </c>
      <c r="B10" s="10" t="s">
        <v>21</v>
      </c>
      <c r="C10" s="11" t="s">
        <v>22</v>
      </c>
      <c r="D10" s="12" t="n">
        <v>1</v>
      </c>
      <c r="E10" s="13" t="n">
        <v>3.49</v>
      </c>
      <c r="F10" s="14" t="n">
        <f aca="false">D10*E10</f>
        <v>3.49</v>
      </c>
      <c r="G10" s="15" t="s">
        <v>15</v>
      </c>
      <c r="H10" s="16" t="s">
        <v>23</v>
      </c>
      <c r="I10" s="17" t="s">
        <v>17</v>
      </c>
    </row>
    <row r="11" customFormat="false" ht="16.5" hidden="false" customHeight="true" outlineLevel="0" collapsed="false">
      <c r="A11" s="18" t="n">
        <v>4</v>
      </c>
      <c r="B11" s="19" t="s">
        <v>24</v>
      </c>
      <c r="C11" s="20" t="s">
        <v>25</v>
      </c>
      <c r="D11" s="21" t="n">
        <v>1</v>
      </c>
      <c r="E11" s="22" t="s">
        <v>26</v>
      </c>
      <c r="F11" s="14" t="n">
        <v>0</v>
      </c>
      <c r="G11" s="24" t="s">
        <v>27</v>
      </c>
      <c r="H11" s="25" t="s">
        <v>28</v>
      </c>
      <c r="I11" s="17" t="s">
        <v>17</v>
      </c>
    </row>
    <row r="12" customFormat="false" ht="16.5" hidden="false" customHeight="true" outlineLevel="0" collapsed="false">
      <c r="A12" s="9" t="n">
        <v>5</v>
      </c>
      <c r="B12" s="10" t="s">
        <v>29</v>
      </c>
      <c r="C12" s="11" t="s">
        <v>30</v>
      </c>
      <c r="D12" s="12" t="n">
        <v>1</v>
      </c>
      <c r="E12" s="13" t="n">
        <v>9.99</v>
      </c>
      <c r="F12" s="14" t="n">
        <f aca="false">D12*E12</f>
        <v>9.99</v>
      </c>
      <c r="G12" s="15" t="s">
        <v>31</v>
      </c>
      <c r="H12" s="16" t="s">
        <v>32</v>
      </c>
      <c r="I12" s="17" t="s">
        <v>17</v>
      </c>
    </row>
    <row r="13" customFormat="false" ht="16.5" hidden="false" customHeight="true" outlineLevel="0" collapsed="false">
      <c r="A13" s="18" t="n">
        <v>6</v>
      </c>
      <c r="B13" s="19" t="s">
        <v>33</v>
      </c>
      <c r="C13" s="20" t="s">
        <v>34</v>
      </c>
      <c r="D13" s="21" t="n">
        <v>1</v>
      </c>
      <c r="E13" s="22" t="n">
        <v>3.49</v>
      </c>
      <c r="F13" s="23" t="n">
        <f aca="false">D13*E13</f>
        <v>3.49</v>
      </c>
      <c r="G13" s="24" t="s">
        <v>35</v>
      </c>
      <c r="H13" s="25" t="s">
        <v>36</v>
      </c>
      <c r="I13" s="17" t="s">
        <v>17</v>
      </c>
    </row>
    <row r="14" customFormat="false" ht="16.5" hidden="false" customHeight="true" outlineLevel="0" collapsed="false">
      <c r="A14" s="9" t="n">
        <v>7</v>
      </c>
      <c r="B14" s="10" t="s">
        <v>37</v>
      </c>
      <c r="C14" s="11" t="s">
        <v>38</v>
      </c>
      <c r="D14" s="12" t="n">
        <v>1</v>
      </c>
      <c r="E14" s="13" t="n">
        <v>6.99</v>
      </c>
      <c r="F14" s="14" t="n">
        <f aca="false">D14*E14</f>
        <v>6.99</v>
      </c>
      <c r="G14" s="15" t="s">
        <v>31</v>
      </c>
      <c r="H14" s="16" t="s">
        <v>39</v>
      </c>
      <c r="I14" s="17" t="s">
        <v>17</v>
      </c>
    </row>
    <row r="15" customFormat="false" ht="16.5" hidden="false" customHeight="true" outlineLevel="0" collapsed="false">
      <c r="A15" s="18" t="n">
        <v>8</v>
      </c>
      <c r="B15" s="19" t="s">
        <v>40</v>
      </c>
      <c r="C15" s="20" t="s">
        <v>41</v>
      </c>
      <c r="D15" s="21" t="n">
        <v>2</v>
      </c>
      <c r="E15" s="22" t="n">
        <v>0.5</v>
      </c>
      <c r="F15" s="23" t="n">
        <f aca="false">D15*E15</f>
        <v>1</v>
      </c>
      <c r="G15" s="24" t="s">
        <v>42</v>
      </c>
      <c r="H15" s="25" t="s">
        <v>43</v>
      </c>
      <c r="I15" s="17" t="s">
        <v>17</v>
      </c>
    </row>
    <row r="16" customFormat="false" ht="16.5" hidden="false" customHeight="true" outlineLevel="0" collapsed="false">
      <c r="A16" s="9" t="n">
        <v>9</v>
      </c>
      <c r="B16" s="10" t="s">
        <v>44</v>
      </c>
      <c r="C16" s="11" t="s">
        <v>45</v>
      </c>
      <c r="D16" s="12" t="n">
        <v>2</v>
      </c>
      <c r="E16" s="13" t="n">
        <v>0.4</v>
      </c>
      <c r="F16" s="14" t="n">
        <f aca="false">D16*E16</f>
        <v>0.8</v>
      </c>
      <c r="G16" s="15" t="s">
        <v>46</v>
      </c>
      <c r="H16" s="16" t="s">
        <v>47</v>
      </c>
      <c r="I16" s="17" t="s">
        <v>17</v>
      </c>
    </row>
    <row r="18" customFormat="false" ht="18" hidden="false" customHeight="true" outlineLevel="0" collapsed="false">
      <c r="A18" s="26" t="s">
        <v>48</v>
      </c>
      <c r="B18" s="26"/>
      <c r="C18" s="26"/>
      <c r="D18" s="26"/>
      <c r="E18" s="26"/>
      <c r="F18" s="26"/>
      <c r="G18" s="26"/>
      <c r="H18" s="26"/>
      <c r="I18" s="27"/>
    </row>
    <row r="19" customFormat="false" ht="16.5" hidden="false" customHeight="true" outlineLevel="0" collapsed="false">
      <c r="A19" s="18" t="n">
        <v>10</v>
      </c>
      <c r="B19" s="19" t="s">
        <v>49</v>
      </c>
      <c r="C19" s="20" t="s">
        <v>50</v>
      </c>
      <c r="D19" s="21" t="n">
        <v>1</v>
      </c>
      <c r="E19" s="22" t="s">
        <v>26</v>
      </c>
      <c r="F19" s="14" t="n">
        <v>0</v>
      </c>
      <c r="G19" s="24" t="s">
        <v>27</v>
      </c>
      <c r="H19" s="25" t="s">
        <v>51</v>
      </c>
      <c r="I19" s="17" t="s">
        <v>17</v>
      </c>
    </row>
    <row r="20" customFormat="false" ht="16.5" hidden="false" customHeight="true" outlineLevel="0" collapsed="false">
      <c r="A20" s="9" t="n">
        <v>11</v>
      </c>
      <c r="B20" s="10" t="s">
        <v>52</v>
      </c>
      <c r="C20" s="11" t="s">
        <v>53</v>
      </c>
      <c r="D20" s="12" t="n">
        <v>1</v>
      </c>
      <c r="E20" s="28" t="s">
        <v>54</v>
      </c>
      <c r="F20" s="28" t="s">
        <v>54</v>
      </c>
      <c r="G20" s="15" t="s">
        <v>55</v>
      </c>
      <c r="H20" s="16" t="s">
        <v>56</v>
      </c>
      <c r="I20" s="17" t="s">
        <v>57</v>
      </c>
    </row>
    <row r="21" customFormat="false" ht="16.5" hidden="false" customHeight="true" outlineLevel="0" collapsed="false">
      <c r="A21" s="18" t="n">
        <v>12</v>
      </c>
      <c r="B21" s="19" t="s">
        <v>58</v>
      </c>
      <c r="C21" s="20" t="s">
        <v>59</v>
      </c>
      <c r="D21" s="21" t="n">
        <v>1</v>
      </c>
      <c r="E21" s="22" t="s">
        <v>26</v>
      </c>
      <c r="F21" s="14" t="n">
        <v>0</v>
      </c>
      <c r="G21" s="24" t="s">
        <v>27</v>
      </c>
      <c r="H21" s="25" t="s">
        <v>60</v>
      </c>
      <c r="I21" s="17" t="s">
        <v>17</v>
      </c>
    </row>
    <row r="22" customFormat="false" ht="16.5" hidden="false" customHeight="true" outlineLevel="0" collapsed="false">
      <c r="A22" s="9" t="n">
        <v>13</v>
      </c>
      <c r="B22" s="10" t="s">
        <v>61</v>
      </c>
      <c r="C22" s="11" t="s">
        <v>62</v>
      </c>
      <c r="D22" s="12" t="n">
        <v>1</v>
      </c>
      <c r="E22" s="13" t="n">
        <v>5.99</v>
      </c>
      <c r="F22" s="14" t="n">
        <f aca="false">D22*E22</f>
        <v>5.99</v>
      </c>
      <c r="G22" s="15" t="s">
        <v>31</v>
      </c>
      <c r="H22" s="16"/>
      <c r="I22" s="17" t="s">
        <v>57</v>
      </c>
    </row>
    <row r="23" customFormat="false" ht="16.5" hidden="false" customHeight="true" outlineLevel="0" collapsed="false">
      <c r="A23" s="18" t="n">
        <v>14</v>
      </c>
      <c r="B23" s="19" t="s">
        <v>63</v>
      </c>
      <c r="C23" s="20" t="s">
        <v>64</v>
      </c>
      <c r="D23" s="21" t="n">
        <v>1</v>
      </c>
      <c r="E23" s="13" t="n">
        <v>0</v>
      </c>
      <c r="F23" s="23" t="n">
        <f aca="false">D23*E23</f>
        <v>0</v>
      </c>
      <c r="G23" s="24" t="s">
        <v>31</v>
      </c>
      <c r="H23" s="25" t="s">
        <v>65</v>
      </c>
      <c r="I23" s="17" t="s">
        <v>17</v>
      </c>
    </row>
    <row r="24" customFormat="false" ht="16.5" hidden="false" customHeight="true" outlineLevel="0" collapsed="false">
      <c r="A24" s="9" t="n">
        <v>15</v>
      </c>
      <c r="B24" s="10" t="s">
        <v>66</v>
      </c>
      <c r="C24" s="11" t="s">
        <v>67</v>
      </c>
      <c r="D24" s="12" t="n">
        <v>2</v>
      </c>
      <c r="E24" s="13" t="n">
        <v>1.99</v>
      </c>
      <c r="F24" s="14" t="n">
        <f aca="false">D24*E24</f>
        <v>3.98</v>
      </c>
      <c r="G24" s="15" t="s">
        <v>68</v>
      </c>
      <c r="H24" s="16" t="s">
        <v>69</v>
      </c>
      <c r="I24" s="17" t="s">
        <v>57</v>
      </c>
    </row>
    <row r="26" customFormat="false" ht="18" hidden="false" customHeight="true" outlineLevel="0" collapsed="false">
      <c r="A26" s="29" t="s">
        <v>70</v>
      </c>
      <c r="B26" s="29"/>
      <c r="C26" s="29"/>
      <c r="D26" s="29"/>
      <c r="E26" s="29"/>
      <c r="F26" s="29"/>
      <c r="G26" s="29"/>
      <c r="H26" s="29"/>
      <c r="I26" s="30"/>
    </row>
    <row r="27" customFormat="false" ht="16.5" hidden="false" customHeight="true" outlineLevel="0" collapsed="false">
      <c r="A27" s="18" t="n">
        <v>16</v>
      </c>
      <c r="B27" s="19" t="s">
        <v>71</v>
      </c>
      <c r="C27" s="20" t="s">
        <v>72</v>
      </c>
      <c r="D27" s="21" t="n">
        <v>1</v>
      </c>
      <c r="E27" s="13" t="n">
        <v>0</v>
      </c>
      <c r="F27" s="14" t="n">
        <f aca="false">D27*E27</f>
        <v>0</v>
      </c>
      <c r="G27" s="15" t="s">
        <v>31</v>
      </c>
      <c r="H27" s="25"/>
      <c r="I27" s="17" t="s">
        <v>17</v>
      </c>
    </row>
    <row r="28" customFormat="false" ht="16.5" hidden="false" customHeight="true" outlineLevel="0" collapsed="false">
      <c r="A28" s="9" t="n">
        <v>17</v>
      </c>
      <c r="B28" s="10" t="s">
        <v>73</v>
      </c>
      <c r="C28" s="11" t="s">
        <v>74</v>
      </c>
      <c r="D28" s="12" t="n">
        <v>1</v>
      </c>
      <c r="E28" s="13" t="n">
        <v>0</v>
      </c>
      <c r="F28" s="14" t="n">
        <v>0</v>
      </c>
      <c r="G28" s="15" t="s">
        <v>31</v>
      </c>
      <c r="H28" s="16" t="s">
        <v>75</v>
      </c>
      <c r="I28" s="17" t="s">
        <v>17</v>
      </c>
    </row>
    <row r="29" customFormat="false" ht="16.5" hidden="false" customHeight="true" outlineLevel="0" collapsed="false">
      <c r="A29" s="18" t="n">
        <v>18</v>
      </c>
      <c r="B29" s="19" t="s">
        <v>76</v>
      </c>
      <c r="C29" s="20" t="s">
        <v>77</v>
      </c>
      <c r="D29" s="21" t="n">
        <v>1</v>
      </c>
      <c r="E29" s="22" t="n">
        <v>0</v>
      </c>
      <c r="F29" s="23" t="n">
        <f aca="false">D29*E29</f>
        <v>0</v>
      </c>
      <c r="G29" s="15" t="s">
        <v>31</v>
      </c>
      <c r="H29" s="25" t="s">
        <v>78</v>
      </c>
      <c r="I29" s="17" t="s">
        <v>17</v>
      </c>
    </row>
    <row r="30" customFormat="false" ht="16.5" hidden="false" customHeight="true" outlineLevel="0" collapsed="false">
      <c r="A30" s="9" t="n">
        <v>19</v>
      </c>
      <c r="B30" s="10" t="s">
        <v>79</v>
      </c>
      <c r="C30" s="11" t="s">
        <v>80</v>
      </c>
      <c r="D30" s="12" t="n">
        <v>1</v>
      </c>
      <c r="E30" s="13" t="n">
        <v>0</v>
      </c>
      <c r="F30" s="14" t="n">
        <f aca="false">D30*E30</f>
        <v>0</v>
      </c>
      <c r="G30" s="15" t="s">
        <v>31</v>
      </c>
      <c r="H30" s="16" t="s">
        <v>81</v>
      </c>
      <c r="I30" s="17" t="s">
        <v>17</v>
      </c>
    </row>
    <row r="31" customFormat="false" ht="16.5" hidden="false" customHeight="true" outlineLevel="0" collapsed="false">
      <c r="A31" s="18" t="n">
        <v>20</v>
      </c>
      <c r="B31" s="19" t="s">
        <v>82</v>
      </c>
      <c r="C31" s="20" t="s">
        <v>83</v>
      </c>
      <c r="D31" s="21" t="n">
        <v>1</v>
      </c>
      <c r="E31" s="22" t="n">
        <v>0</v>
      </c>
      <c r="F31" s="23" t="n">
        <f aca="false">D31*E31</f>
        <v>0</v>
      </c>
      <c r="G31" s="24" t="s">
        <v>84</v>
      </c>
      <c r="H31" s="25"/>
      <c r="I31" s="17" t="s">
        <v>17</v>
      </c>
    </row>
    <row r="33" customFormat="false" ht="18" hidden="false" customHeight="true" outlineLevel="0" collapsed="false">
      <c r="A33" s="31" t="s">
        <v>85</v>
      </c>
      <c r="B33" s="31"/>
      <c r="C33" s="31"/>
      <c r="D33" s="31"/>
      <c r="E33" s="31"/>
      <c r="F33" s="31"/>
      <c r="G33" s="31"/>
      <c r="H33" s="31"/>
      <c r="I33" s="32"/>
    </row>
    <row r="34" customFormat="false" ht="16.5" hidden="false" customHeight="true" outlineLevel="0" collapsed="false">
      <c r="A34" s="9" t="n">
        <v>21</v>
      </c>
      <c r="B34" s="10" t="s">
        <v>86</v>
      </c>
      <c r="C34" s="11" t="s">
        <v>87</v>
      </c>
      <c r="D34" s="12" t="n">
        <v>1</v>
      </c>
      <c r="E34" s="22" t="s">
        <v>26</v>
      </c>
      <c r="F34" s="28" t="s">
        <v>54</v>
      </c>
      <c r="G34" s="15" t="s">
        <v>88</v>
      </c>
      <c r="H34" s="16"/>
      <c r="I34" s="17" t="s">
        <v>17</v>
      </c>
    </row>
    <row r="35" customFormat="false" ht="16.5" hidden="false" customHeight="true" outlineLevel="0" collapsed="false">
      <c r="A35" s="18" t="n">
        <v>22</v>
      </c>
      <c r="B35" s="19" t="s">
        <v>89</v>
      </c>
      <c r="C35" s="20" t="s">
        <v>90</v>
      </c>
      <c r="D35" s="21" t="n">
        <v>1</v>
      </c>
      <c r="E35" s="22" t="s">
        <v>26</v>
      </c>
      <c r="F35" s="33" t="s">
        <v>54</v>
      </c>
      <c r="G35" s="24" t="s">
        <v>91</v>
      </c>
      <c r="H35" s="25" t="s">
        <v>92</v>
      </c>
      <c r="I35" s="17" t="s">
        <v>17</v>
      </c>
    </row>
    <row r="36" customFormat="false" ht="16.5" hidden="false" customHeight="true" outlineLevel="0" collapsed="false">
      <c r="A36" s="9" t="n">
        <v>23</v>
      </c>
      <c r="B36" s="10" t="s">
        <v>93</v>
      </c>
      <c r="C36" s="11" t="s">
        <v>94</v>
      </c>
      <c r="D36" s="12" t="n">
        <v>1</v>
      </c>
      <c r="E36" s="22" t="s">
        <v>26</v>
      </c>
      <c r="F36" s="28" t="s">
        <v>54</v>
      </c>
      <c r="G36" s="15" t="s">
        <v>95</v>
      </c>
      <c r="H36" s="16" t="s">
        <v>96</v>
      </c>
      <c r="I36" s="17" t="s">
        <v>17</v>
      </c>
    </row>
    <row r="37" customFormat="false" ht="16.5" hidden="false" customHeight="true" outlineLevel="0" collapsed="false">
      <c r="A37" s="18" t="n">
        <v>24</v>
      </c>
      <c r="B37" s="19" t="s">
        <v>97</v>
      </c>
      <c r="C37" s="20" t="s">
        <v>98</v>
      </c>
      <c r="D37" s="21" t="n">
        <v>1</v>
      </c>
      <c r="E37" s="22" t="s">
        <v>26</v>
      </c>
      <c r="F37" s="33" t="s">
        <v>54</v>
      </c>
      <c r="G37" s="24" t="s">
        <v>99</v>
      </c>
      <c r="H37" s="25" t="s">
        <v>100</v>
      </c>
      <c r="I37" s="17" t="s">
        <v>17</v>
      </c>
    </row>
    <row r="38" customFormat="false" ht="16.5" hidden="false" customHeight="true" outlineLevel="0" collapsed="false">
      <c r="A38" s="9" t="n">
        <v>25</v>
      </c>
      <c r="B38" s="10" t="s">
        <v>101</v>
      </c>
      <c r="C38" s="11" t="s">
        <v>102</v>
      </c>
      <c r="D38" s="12" t="n">
        <v>1</v>
      </c>
      <c r="E38" s="22" t="s">
        <v>26</v>
      </c>
      <c r="F38" s="28" t="s">
        <v>54</v>
      </c>
      <c r="G38" s="15" t="s">
        <v>103</v>
      </c>
      <c r="H38" s="16" t="s">
        <v>104</v>
      </c>
      <c r="I38" s="17" t="s">
        <v>17</v>
      </c>
    </row>
    <row r="41" customFormat="false" ht="24" hidden="false" customHeight="true" outlineLevel="0" collapsed="false">
      <c r="A41" s="34" t="s">
        <v>105</v>
      </c>
      <c r="B41" s="34"/>
      <c r="C41" s="34"/>
      <c r="D41" s="34"/>
      <c r="E41" s="35" t="n">
        <f aca="false">F8+F9+F10+F11+F12+F13+F14+F15+F16+F19+F21+F22+F23+F24+F28+F30+F31+F29</f>
        <v>44.72</v>
      </c>
      <c r="F41" s="35"/>
      <c r="G41" s="36"/>
      <c r="H41" s="36"/>
      <c r="I41" s="37"/>
    </row>
    <row r="42" customFormat="false" ht="1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</row>
    <row r="43" customFormat="false" ht="1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</row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</sheetData>
  <mergeCells count="11">
    <mergeCell ref="A2:H2"/>
    <mergeCell ref="A3:H3"/>
    <mergeCell ref="A4:H4"/>
    <mergeCell ref="A5:H5"/>
    <mergeCell ref="A7:H7"/>
    <mergeCell ref="A18:H18"/>
    <mergeCell ref="A26:H26"/>
    <mergeCell ref="A33:H33"/>
    <mergeCell ref="A41:D41"/>
    <mergeCell ref="E41:F41"/>
    <mergeCell ref="G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2026-04-01T16:09:35Z</dcterms:created>
  <dc:creator>openpyxl</dc:creator>
  <dc:description/>
  <dc:language>en-US</dc:language>
  <cp:lastModifiedBy>Gabrick, David</cp:lastModifiedBy>
  <dcterms:modified xsi:type="dcterms:W3CDTF">2026-06-09T22:00:07Z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